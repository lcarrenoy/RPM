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is\OneDrive\Escritorio\"/>
    </mc:Choice>
  </mc:AlternateContent>
  <xr:revisionPtr revIDLastSave="0" documentId="13_ncr:1_{B96A89B1-5ED5-46E1-B08A-4C1E94EF97EE}" xr6:coauthVersionLast="47" xr6:coauthVersionMax="47" xr10:uidLastSave="{00000000-0000-0000-0000-000000000000}"/>
  <bookViews>
    <workbookView xWindow="-120" yWindow="-120" windowWidth="20730" windowHeight="11040" activeTab="2" xr2:uid="{32E95875-C4DD-457D-A103-1CF9044980C7}"/>
  </bookViews>
  <sheets>
    <sheet name="Readme" sheetId="3" r:id="rId1"/>
    <sheet name="BOM" sheetId="1" r:id="rId2"/>
    <sheet name="Macros" sheetId="2" r:id="rId3"/>
    <sheet name="Sheet4" sheetId="4" r:id="rId4"/>
    <sheet name="Sheet5" sheetId="5" r:id="rId5"/>
  </sheets>
  <externalReferences>
    <externalReference r:id="rId6"/>
  </externalReferences>
  <definedNames>
    <definedName name="TablaBOM">Tabla5[]</definedName>
  </definedNames>
  <calcPr calcId="191029"/>
  <pivotCaches>
    <pivotCache cacheId="21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7" i="2" l="1"/>
  <c r="H22" i="1"/>
  <c r="H23" i="1"/>
  <c r="J17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H30" i="1" l="1"/>
  <c r="H31" i="1"/>
  <c r="H27" i="1"/>
  <c r="H28" i="1"/>
  <c r="H29" i="1"/>
  <c r="H24" i="1"/>
  <c r="H25" i="1"/>
  <c r="H26" i="1"/>
  <c r="G22" i="1"/>
  <c r="H17" i="1"/>
  <c r="H18" i="1"/>
  <c r="H19" i="1"/>
  <c r="H20" i="1"/>
  <c r="H21" i="1"/>
  <c r="H16" i="1"/>
  <c r="H15" i="1"/>
  <c r="I17" i="2"/>
  <c r="I20" i="2"/>
  <c r="I21" i="2"/>
  <c r="I22" i="2"/>
  <c r="I23" i="2"/>
  <c r="J18" i="2"/>
  <c r="J19" i="2"/>
  <c r="I24" i="2"/>
  <c r="I25" i="2"/>
  <c r="I26" i="2"/>
  <c r="I27" i="2"/>
  <c r="I28" i="2"/>
  <c r="I29" i="2"/>
  <c r="I30" i="2"/>
  <c r="I31" i="2"/>
  <c r="I32" i="2"/>
  <c r="I18" i="2"/>
  <c r="I19" i="2"/>
  <c r="P8" i="4"/>
  <c r="O8" i="4"/>
  <c r="N8" i="4"/>
  <c r="M8" i="4"/>
  <c r="L8" i="4"/>
  <c r="K8" i="4"/>
  <c r="P7" i="4"/>
  <c r="O7" i="4"/>
  <c r="N7" i="4"/>
  <c r="M7" i="4"/>
  <c r="L7" i="4"/>
  <c r="K7" i="4"/>
  <c r="P6" i="4"/>
  <c r="O6" i="4"/>
  <c r="N6" i="4"/>
  <c r="M6" i="4"/>
  <c r="L6" i="4"/>
  <c r="K6" i="4"/>
  <c r="P5" i="4"/>
  <c r="O5" i="4"/>
  <c r="N5" i="4"/>
  <c r="M5" i="4"/>
  <c r="L5" i="4"/>
  <c r="K5" i="4"/>
  <c r="H4" i="4" s="1"/>
  <c r="P4" i="4"/>
  <c r="O4" i="4"/>
  <c r="N4" i="4"/>
  <c r="M4" i="4"/>
  <c r="L4" i="4"/>
  <c r="K4" i="4"/>
  <c r="M11" i="2"/>
  <c r="N11" i="2"/>
  <c r="O11" i="2"/>
  <c r="P11" i="2"/>
  <c r="L11" i="2"/>
  <c r="D9" i="2"/>
  <c r="D8" i="2"/>
  <c r="D7" i="2"/>
  <c r="J9" i="1"/>
  <c r="J10" i="1"/>
  <c r="J8" i="1"/>
  <c r="H9" i="4" l="1"/>
</calcChain>
</file>

<file path=xl/sharedStrings.xml><?xml version="1.0" encoding="utf-8"?>
<sst xmlns="http://schemas.openxmlformats.org/spreadsheetml/2006/main" count="143" uniqueCount="68">
  <si>
    <t>ESTUDIO</t>
  </si>
  <si>
    <t>DESAGREGADO</t>
  </si>
  <si>
    <t>P175</t>
  </si>
  <si>
    <t xml:space="preserve">INSULINA                                          </t>
  </si>
  <si>
    <t>P1751</t>
  </si>
  <si>
    <t xml:space="preserve">INSULINA 30 MINUTOS                               </t>
  </si>
  <si>
    <t>P1752</t>
  </si>
  <si>
    <t xml:space="preserve">INSULINA 60 MINUTOS                               </t>
  </si>
  <si>
    <t>P1755</t>
  </si>
  <si>
    <t xml:space="preserve">INSULINA 120 MINUTOS                              </t>
  </si>
  <si>
    <t>MAYO</t>
  </si>
  <si>
    <t>P1757</t>
  </si>
  <si>
    <t xml:space="preserve">INSULINA 180 MINUTOS                              </t>
  </si>
  <si>
    <t>O3071</t>
  </si>
  <si>
    <t xml:space="preserve">CREATININA EN ORINA SIMPLE                        </t>
  </si>
  <si>
    <t>P1758</t>
  </si>
  <si>
    <t xml:space="preserve">INSULINA 90 MINUTOS                               </t>
  </si>
  <si>
    <t>O3072</t>
  </si>
  <si>
    <t xml:space="preserve">CREATININA ORINA 12 HORAS                         </t>
  </si>
  <si>
    <t>P191</t>
  </si>
  <si>
    <t xml:space="preserve">INSULINA BASAL                                    </t>
  </si>
  <si>
    <t>B108</t>
  </si>
  <si>
    <t xml:space="preserve">CREATININA                                        </t>
  </si>
  <si>
    <t>P1015</t>
  </si>
  <si>
    <t xml:space="preserve">PERFIL TIROIDEO INCOR                             </t>
  </si>
  <si>
    <t>P154</t>
  </si>
  <si>
    <t xml:space="preserve">T3                                                </t>
  </si>
  <si>
    <t>P155</t>
  </si>
  <si>
    <t xml:space="preserve">T4                                                </t>
  </si>
  <si>
    <t>P1561</t>
  </si>
  <si>
    <t xml:space="preserve">TSH ULTRASENSIBLE                                 </t>
  </si>
  <si>
    <t>Quantity</t>
  </si>
  <si>
    <t>localProces</t>
  </si>
  <si>
    <t>Colors</t>
  </si>
  <si>
    <t>#0A369D</t>
  </si>
  <si>
    <t>#4472CA</t>
  </si>
  <si>
    <t>#92B4F4</t>
  </si>
  <si>
    <t>Description</t>
  </si>
  <si>
    <t>Code</t>
  </si>
  <si>
    <t>RPM</t>
  </si>
  <si>
    <t>AGREGADO</t>
  </si>
  <si>
    <t>Month</t>
  </si>
  <si>
    <t>Status</t>
  </si>
  <si>
    <t>Central</t>
  </si>
  <si>
    <t>A</t>
  </si>
  <si>
    <t>index</t>
  </si>
  <si>
    <t>Sells</t>
  </si>
  <si>
    <t>M1</t>
  </si>
  <si>
    <t>M2</t>
  </si>
  <si>
    <t>M3</t>
  </si>
  <si>
    <t>M4</t>
  </si>
  <si>
    <t>M5</t>
  </si>
  <si>
    <t>M6</t>
  </si>
  <si>
    <t>B</t>
  </si>
  <si>
    <t>C</t>
  </si>
  <si>
    <t>D</t>
  </si>
  <si>
    <t>E</t>
  </si>
  <si>
    <t>INDICE</t>
  </si>
  <si>
    <t>coincidir</t>
  </si>
  <si>
    <t>match</t>
  </si>
  <si>
    <t>desref</t>
  </si>
  <si>
    <t>offset</t>
  </si>
  <si>
    <t>p175</t>
  </si>
  <si>
    <t>West</t>
  </si>
  <si>
    <t>(blank)</t>
  </si>
  <si>
    <t>Grand Total</t>
  </si>
  <si>
    <t>North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</si>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</sst>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1"/>
      <color theme="1"/>
      <name val="Calibri"/>
      <family val="2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A369D"/>
        <bgColor indexed="64"/>
      </patternFill>
    </fill>
    <fill>
      <patternFill patternType="solid">
        <fgColor rgb="FF4472CA"/>
        <bgColor indexed="64"/>
      </patternFill>
    </fill>
    <fill>
      <patternFill patternType="solid">
        <fgColor rgb="FF92B4F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4"/>
      </top>
      <bottom style="thin">
        <color theme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/>
    <xf numFmtId="0" fontId="0" fillId="2" borderId="0" xfId="0" applyFill="1"/>
    <xf numFmtId="0" fontId="2" fillId="0" borderId="0" xfId="0" applyFont="1"/>
    <xf numFmtId="0" fontId="2" fillId="0" borderId="1" xfId="0" applyFont="1" applyBorder="1"/>
    <xf numFmtId="0" fontId="0" fillId="3" borderId="0" xfId="0" applyFill="1"/>
    <xf numFmtId="0" fontId="0" fillId="4" borderId="0" xfId="0" applyFill="1"/>
    <xf numFmtId="0" fontId="4" fillId="4" borderId="1" xfId="0" applyFont="1" applyFill="1" applyBorder="1"/>
    <xf numFmtId="0" fontId="2" fillId="2" borderId="1" xfId="0" applyFont="1" applyFill="1" applyBorder="1"/>
    <xf numFmtId="0" fontId="2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2" xfId="0" applyFont="1" applyFill="1" applyBorder="1"/>
    <xf numFmtId="0" fontId="3" fillId="2" borderId="2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 vertical="center"/>
    </xf>
    <xf numFmtId="0" fontId="0" fillId="6" borderId="0" xfId="0" applyFill="1"/>
    <xf numFmtId="0" fontId="0" fillId="0" borderId="0" xfId="0" pivotButton="1"/>
    <xf numFmtId="0" fontId="1" fillId="0" borderId="1" xfId="0" applyFont="1" applyBorder="1"/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border>
        <bottom style="thin">
          <color theme="1"/>
        </bottom>
      </border>
    </dxf>
    <dxf>
      <border outline="0">
        <top style="thin">
          <color theme="4"/>
        </top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0A369D"/>
        </patternFill>
      </fill>
      <border diagonalUp="0" diagonalDown="0">
        <left style="thin">
          <color theme="1"/>
        </left>
        <right style="thin">
          <color theme="1"/>
        </right>
        <top/>
        <bottom/>
        <vertical style="thin">
          <color theme="1"/>
        </vertical>
        <horizontal style="thin">
          <color theme="1"/>
        </horizontal>
      </border>
    </dxf>
  </dxfs>
  <tableStyles count="0" defaultTableStyle="TableStyleMedium2" defaultPivotStyle="PivotStyleLight16"/>
  <colors>
    <mruColors>
      <color rgb="FF92B4F4"/>
      <color rgb="FF4472CA"/>
      <color rgb="FF0A369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0</xdr:row>
      <xdr:rowOff>130169</xdr:rowOff>
    </xdr:from>
    <xdr:to>
      <xdr:col>4</xdr:col>
      <xdr:colOff>6220</xdr:colOff>
      <xdr:row>2</xdr:row>
      <xdr:rowOff>54888</xdr:rowOff>
    </xdr:to>
    <xdr:sp macro="" textlink="">
      <xdr:nvSpPr>
        <xdr:cNvPr id="2" name="Rectángulo 3">
          <a:extLst>
            <a:ext uri="{FF2B5EF4-FFF2-40B4-BE49-F238E27FC236}">
              <a16:creationId xmlns:a16="http://schemas.microsoft.com/office/drawing/2014/main" id="{C507D5A1-D3D7-4942-9A4A-2C21DC3C2BE6}"/>
            </a:ext>
          </a:extLst>
        </xdr:cNvPr>
        <xdr:cNvSpPr/>
      </xdr:nvSpPr>
      <xdr:spPr>
        <a:xfrm>
          <a:off x="819150" y="130169"/>
          <a:ext cx="4625845" cy="305719"/>
        </a:xfrm>
        <a:prstGeom prst="rect">
          <a:avLst/>
        </a:prstGeom>
        <a:solidFill>
          <a:srgbClr val="0A369D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400" b="0"/>
            <a:t>BILL OF MATERRIAL (BOM)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345281</xdr:colOff>
      <xdr:row>0</xdr:row>
      <xdr:rowOff>154781</xdr:rowOff>
    </xdr:from>
    <xdr:to>
      <xdr:col>3</xdr:col>
      <xdr:colOff>1897856</xdr:colOff>
      <xdr:row>3</xdr:row>
      <xdr:rowOff>135731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0EBBB3F-FAE2-4D07-B26A-A0AF6A7C41CF}"/>
            </a:ext>
          </a:extLst>
        </xdr:cNvPr>
        <xdr:cNvSpPr/>
      </xdr:nvSpPr>
      <xdr:spPr>
        <a:xfrm>
          <a:off x="2976562" y="154781"/>
          <a:ext cx="1552575" cy="5524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/>
            <a:t>DISAGGREGATE</a:t>
          </a:r>
          <a:endParaRPr lang="es-PE" sz="1100"/>
        </a:p>
      </xdr:txBody>
    </xdr:sp>
    <xdr:clientData/>
  </xdr:twoCellAnchor>
  <xdr:twoCellAnchor>
    <xdr:from>
      <xdr:col>3</xdr:col>
      <xdr:colOff>2469356</xdr:colOff>
      <xdr:row>0</xdr:row>
      <xdr:rowOff>173832</xdr:rowOff>
    </xdr:from>
    <xdr:to>
      <xdr:col>5</xdr:col>
      <xdr:colOff>438149</xdr:colOff>
      <xdr:row>3</xdr:row>
      <xdr:rowOff>154782</xdr:rowOff>
    </xdr:to>
    <xdr:sp macro="[0]!DELETE" textlink="">
      <xdr:nvSpPr>
        <xdr:cNvPr id="3" name="Rectangle 2">
          <a:extLst>
            <a:ext uri="{FF2B5EF4-FFF2-40B4-BE49-F238E27FC236}">
              <a16:creationId xmlns:a16="http://schemas.microsoft.com/office/drawing/2014/main" id="{37F84279-6F5E-4019-A7AF-088AE599A949}"/>
            </a:ext>
          </a:extLst>
        </xdr:cNvPr>
        <xdr:cNvSpPr/>
      </xdr:nvSpPr>
      <xdr:spPr>
        <a:xfrm>
          <a:off x="5100637" y="173832"/>
          <a:ext cx="1552575" cy="5524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DELETE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uis.carreno/Desktop/synprod/PRODUCCION/PRESENTACION/FORMATO%20DISGREGA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S ANUAL"/>
      <sheetName val="PRODUCTOS"/>
      <sheetName val="MATRIZ "/>
      <sheetName val="CUADRO"/>
      <sheetName val="FORMATO DISGREGAR"/>
    </sheetNames>
    <definedNames>
      <definedName name="BORRAR"/>
      <definedName name="DISGREGAR"/>
    </definedNames>
    <sheetDataSet>
      <sheetData sheetId="0"/>
      <sheetData sheetId="1"/>
      <sheetData sheetId="2"/>
      <sheetData sheetId="3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s" refreshedDate="45418.530841435182" createdVersion="8" refreshedVersion="8" minRefreshableVersion="3" recordCount="36" xr:uid="{5B58D5EC-D92B-48FA-97B0-A1E1471ECC95}">
  <cacheSource type="worksheet">
    <worksheetSource name="Tabla5"/>
  </cacheSource>
  <cacheFields count="3">
    <cacheField name="Code" numFmtId="0">
      <sharedItems containsNonDate="0" containsBlank="1" count="15">
        <s v="P175"/>
        <s v="P1751"/>
        <s v="P1752"/>
        <s v="P1755"/>
        <s v="P1757"/>
        <s v="P1758"/>
        <s v="P154"/>
        <s v="P191"/>
        <m/>
        <s v="B108"/>
        <s v="O3071"/>
        <s v="O3072"/>
        <s v="P1015"/>
        <s v="P155"/>
        <s v="P1561"/>
      </sharedItems>
    </cacheField>
    <cacheField name="Description" numFmtId="0">
      <sharedItems containsNonDate="0" containsBlank="1" count="15">
        <s v="INSULINA                                          "/>
        <s v="INSULINA 30 MINUTOS                               "/>
        <s v="INSULINA 60 MINUTOS                               "/>
        <s v="INSULINA 120 MINUTOS                              "/>
        <s v="INSULINA 180 MINUTOS                              "/>
        <s v="INSULINA 90 MINUTOS                               "/>
        <s v="T3                                                "/>
        <s v="INSULINA BASAL                                    "/>
        <m/>
        <s v="CREATININA                                        "/>
        <s v="CREATININA EN ORINA SIMPLE                        "/>
        <s v="CREATININA ORINA 12 HORAS                         "/>
        <s v="PERFIL TIROIDEO INCOR                             "/>
        <s v="T4                                                "/>
        <s v="TSH ULTRASENSIBLE                                 "/>
      </sharedItems>
    </cacheField>
    <cacheField name="Quantity" numFmtId="0">
      <sharedItems containsString="0" containsBlank="1" containsNumber="1" containsInteger="1" minValue="1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x v="0"/>
    <m/>
  </r>
  <r>
    <x v="1"/>
    <x v="1"/>
    <n v="1"/>
  </r>
  <r>
    <x v="2"/>
    <x v="2"/>
    <n v="1"/>
  </r>
  <r>
    <x v="3"/>
    <x v="3"/>
    <n v="1"/>
  </r>
  <r>
    <x v="4"/>
    <x v="4"/>
    <n v="1"/>
  </r>
  <r>
    <x v="5"/>
    <x v="5"/>
    <n v="1"/>
  </r>
  <r>
    <x v="6"/>
    <x v="6"/>
    <n v="4"/>
  </r>
  <r>
    <x v="7"/>
    <x v="7"/>
    <n v="3"/>
  </r>
  <r>
    <x v="8"/>
    <x v="8"/>
    <m/>
  </r>
  <r>
    <x v="8"/>
    <x v="8"/>
    <m/>
  </r>
  <r>
    <x v="8"/>
    <x v="8"/>
    <m/>
  </r>
  <r>
    <x v="8"/>
    <x v="8"/>
    <m/>
  </r>
  <r>
    <x v="9"/>
    <x v="9"/>
    <m/>
  </r>
  <r>
    <x v="6"/>
    <x v="6"/>
    <n v="1"/>
  </r>
  <r>
    <x v="10"/>
    <x v="10"/>
    <n v="3"/>
  </r>
  <r>
    <x v="11"/>
    <x v="11"/>
    <n v="1"/>
  </r>
  <r>
    <x v="8"/>
    <x v="8"/>
    <m/>
  </r>
  <r>
    <x v="8"/>
    <x v="8"/>
    <m/>
  </r>
  <r>
    <x v="8"/>
    <x v="8"/>
    <m/>
  </r>
  <r>
    <x v="8"/>
    <x v="8"/>
    <m/>
  </r>
  <r>
    <x v="8"/>
    <x v="8"/>
    <m/>
  </r>
  <r>
    <x v="8"/>
    <x v="8"/>
    <m/>
  </r>
  <r>
    <x v="8"/>
    <x v="8"/>
    <m/>
  </r>
  <r>
    <x v="8"/>
    <x v="8"/>
    <m/>
  </r>
  <r>
    <x v="12"/>
    <x v="12"/>
    <m/>
  </r>
  <r>
    <x v="6"/>
    <x v="6"/>
    <n v="1"/>
  </r>
  <r>
    <x v="13"/>
    <x v="13"/>
    <n v="2"/>
  </r>
  <r>
    <x v="14"/>
    <x v="14"/>
    <n v="1"/>
  </r>
  <r>
    <x v="8"/>
    <x v="8"/>
    <m/>
  </r>
  <r>
    <x v="8"/>
    <x v="8"/>
    <m/>
  </r>
  <r>
    <x v="8"/>
    <x v="8"/>
    <m/>
  </r>
  <r>
    <x v="8"/>
    <x v="8"/>
    <m/>
  </r>
  <r>
    <x v="8"/>
    <x v="8"/>
    <m/>
  </r>
  <r>
    <x v="8"/>
    <x v="8"/>
    <m/>
  </r>
  <r>
    <x v="8"/>
    <x v="8"/>
    <m/>
  </r>
  <r>
    <x v="8"/>
    <x v="8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7BE8F3-9B18-4B31-AE99-C7835FBF939A}" name="PivotTable1" cacheId="2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B19" firstHeaderRow="1" firstDataRow="1" firstDataCol="2"/>
  <pivotFields count="3">
    <pivotField axis="axisRow" compact="0" outline="0" showAll="0" defaultSubtotal="0">
      <items count="15">
        <item x="9"/>
        <item x="10"/>
        <item x="11"/>
        <item x="12"/>
        <item x="6"/>
        <item x="13"/>
        <item x="14"/>
        <item x="0"/>
        <item x="1"/>
        <item x="2"/>
        <item x="3"/>
        <item x="4"/>
        <item x="5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">
        <item x="9"/>
        <item x="10"/>
        <item x="11"/>
        <item x="0"/>
        <item x="3"/>
        <item x="4"/>
        <item x="1"/>
        <item x="2"/>
        <item x="5"/>
        <item x="7"/>
        <item x="12"/>
        <item x="6"/>
        <item x="13"/>
        <item x="14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6">
    <i>
      <x/>
      <x/>
    </i>
    <i>
      <x v="1"/>
      <x v="1"/>
    </i>
    <i>
      <x v="2"/>
      <x v="2"/>
    </i>
    <i>
      <x v="3"/>
      <x v="10"/>
    </i>
    <i>
      <x v="4"/>
      <x v="11"/>
    </i>
    <i>
      <x v="5"/>
      <x v="12"/>
    </i>
    <i>
      <x v="6"/>
      <x v="13"/>
    </i>
    <i>
      <x v="7"/>
      <x v="3"/>
    </i>
    <i>
      <x v="8"/>
      <x v="6"/>
    </i>
    <i>
      <x v="9"/>
      <x v="7"/>
    </i>
    <i>
      <x v="10"/>
      <x v="4"/>
    </i>
    <i>
      <x v="11"/>
      <x v="5"/>
    </i>
    <i>
      <x v="12"/>
      <x v="8"/>
    </i>
    <i>
      <x v="13"/>
      <x v="9"/>
    </i>
    <i>
      <x v="14"/>
      <x v="14"/>
    </i>
    <i t="grand">
      <x/>
    </i>
  </rowItems>
  <colItems count="1">
    <i/>
  </colItems>
  <formats count="3">
    <format dxfId="3">
      <pivotArea dataOnly="0" labelOnly="1" outline="0" fieldPosition="0">
        <references count="2">
          <reference field="0" count="1" selected="0">
            <x v="7"/>
          </reference>
          <reference field="1" count="1">
            <x v="3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3"/>
          </reference>
          <reference field="1" count="1">
            <x v="1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AD36BD-DF5B-45E6-AC28-40EE145BBC02}" name="Tabla5" displayName="Tabla5" ref="B4:D40" totalsRowShown="0" headerRowDxfId="10" dataDxfId="9" headerRowBorderDxfId="7" tableBorderDxfId="8">
  <tableColumns count="3">
    <tableColumn id="1" xr3:uid="{1FE8591B-09CC-4495-8FA3-169EDC5B06FC}" name="Code" dataDxfId="6"/>
    <tableColumn id="2" xr3:uid="{51C2D44F-8366-45EB-939C-EA680EE5D33E}" name="Description" dataDxfId="5"/>
    <tableColumn id="3" xr3:uid="{E6C3C42A-B77B-41D5-A0B7-7DC9BC55C887}" name="Quantity" dataDxfId="4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8EAA1-A419-48DB-AEA1-F70C7BEFE8E4}">
  <sheetPr codeName="Sheet1"/>
  <dimension ref="B2:D11"/>
  <sheetViews>
    <sheetView showGridLines="0" workbookViewId="0">
      <selection activeCell="J6" sqref="J6"/>
    </sheetView>
  </sheetViews>
  <sheetFormatPr defaultRowHeight="15" x14ac:dyDescent="0.25"/>
  <sheetData>
    <row r="2" spans="2:4" x14ac:dyDescent="0.25">
      <c r="B2" t="s">
        <v>39</v>
      </c>
    </row>
    <row r="9" spans="2:4" x14ac:dyDescent="0.25">
      <c r="B9" t="s">
        <v>33</v>
      </c>
      <c r="C9" t="s">
        <v>34</v>
      </c>
      <c r="D9" s="4"/>
    </row>
    <row r="10" spans="2:4" x14ac:dyDescent="0.25">
      <c r="C10" t="s">
        <v>35</v>
      </c>
      <c r="D10" s="7"/>
    </row>
    <row r="11" spans="2:4" x14ac:dyDescent="0.25">
      <c r="C11" t="s">
        <v>36</v>
      </c>
      <c r="D11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7B091-8D44-4512-834B-33EA09C785A4}">
  <sheetPr codeName="Sheet2"/>
  <dimension ref="A4:J40"/>
  <sheetViews>
    <sheetView showGridLines="0" workbookViewId="0">
      <selection activeCell="B6" sqref="B6:B12"/>
    </sheetView>
  </sheetViews>
  <sheetFormatPr defaultRowHeight="15" x14ac:dyDescent="0.25"/>
  <cols>
    <col min="1" max="1" width="12" style="5" customWidth="1"/>
    <col min="2" max="2" width="17.42578125" style="5" customWidth="1"/>
    <col min="3" max="3" width="40.140625" style="5" bestFit="1" customWidth="1"/>
    <col min="4" max="4" width="12" style="14" customWidth="1"/>
    <col min="5" max="5" width="9.140625" style="5"/>
    <col min="10" max="10" width="28" bestFit="1" customWidth="1"/>
  </cols>
  <sheetData>
    <row r="4" spans="1:10" x14ac:dyDescent="0.25">
      <c r="B4" s="10" t="s">
        <v>38</v>
      </c>
      <c r="C4" s="10" t="s">
        <v>37</v>
      </c>
      <c r="D4" s="11" t="s">
        <v>31</v>
      </c>
    </row>
    <row r="5" spans="1:10" x14ac:dyDescent="0.25">
      <c r="A5" s="5">
        <v>1</v>
      </c>
      <c r="B5" s="9" t="s">
        <v>2</v>
      </c>
      <c r="C5" s="9" t="s">
        <v>3</v>
      </c>
      <c r="D5" s="12"/>
    </row>
    <row r="6" spans="1:10" x14ac:dyDescent="0.25">
      <c r="A6" s="5">
        <v>2</v>
      </c>
      <c r="B6" s="6" t="s">
        <v>4</v>
      </c>
      <c r="C6" s="6" t="s">
        <v>5</v>
      </c>
      <c r="D6" s="13">
        <v>1</v>
      </c>
    </row>
    <row r="7" spans="1:10" x14ac:dyDescent="0.25">
      <c r="A7" s="5">
        <v>3</v>
      </c>
      <c r="B7" s="6" t="s">
        <v>6</v>
      </c>
      <c r="C7" s="6" t="s">
        <v>7</v>
      </c>
      <c r="D7" s="13">
        <v>1</v>
      </c>
    </row>
    <row r="8" spans="1:10" x14ac:dyDescent="0.25">
      <c r="A8" s="5">
        <v>4</v>
      </c>
      <c r="B8" s="6" t="s">
        <v>8</v>
      </c>
      <c r="C8" s="6" t="s">
        <v>9</v>
      </c>
      <c r="D8" s="13">
        <v>1</v>
      </c>
      <c r="G8">
        <v>1</v>
      </c>
      <c r="H8">
        <v>10</v>
      </c>
      <c r="I8" s="9" t="s">
        <v>2</v>
      </c>
      <c r="J8" t="str">
        <f>VLOOKUP(I8,TablaBOM,2,FALSE)</f>
        <v xml:space="preserve">INSULINA                                          </v>
      </c>
    </row>
    <row r="9" spans="1:10" x14ac:dyDescent="0.25">
      <c r="A9" s="5">
        <v>5</v>
      </c>
      <c r="B9" s="6" t="s">
        <v>11</v>
      </c>
      <c r="C9" s="6" t="s">
        <v>12</v>
      </c>
      <c r="D9" s="13">
        <v>1</v>
      </c>
      <c r="G9">
        <v>13</v>
      </c>
      <c r="H9">
        <v>10</v>
      </c>
      <c r="I9" s="9" t="s">
        <v>21</v>
      </c>
      <c r="J9" t="str">
        <f>VLOOKUP(I9,TablaBOM,2,FALSE)</f>
        <v xml:space="preserve">CREATININA                                        </v>
      </c>
    </row>
    <row r="10" spans="1:10" x14ac:dyDescent="0.25">
      <c r="A10" s="5">
        <v>6</v>
      </c>
      <c r="B10" s="6" t="s">
        <v>15</v>
      </c>
      <c r="C10" s="6" t="s">
        <v>16</v>
      </c>
      <c r="D10" s="13">
        <v>1</v>
      </c>
      <c r="G10">
        <v>25</v>
      </c>
      <c r="H10">
        <v>5</v>
      </c>
      <c r="I10" s="9" t="s">
        <v>23</v>
      </c>
      <c r="J10" t="str">
        <f>VLOOKUP(I10,TablaBOM,2,FALSE)</f>
        <v xml:space="preserve">PERFIL TIROIDEO INCOR                             </v>
      </c>
    </row>
    <row r="11" spans="1:10" x14ac:dyDescent="0.25">
      <c r="A11" s="5">
        <v>7</v>
      </c>
      <c r="B11" s="6" t="s">
        <v>25</v>
      </c>
      <c r="C11" s="6" t="s">
        <v>26</v>
      </c>
      <c r="D11" s="13">
        <v>4</v>
      </c>
    </row>
    <row r="12" spans="1:10" x14ac:dyDescent="0.25">
      <c r="A12" s="5">
        <v>8</v>
      </c>
      <c r="B12" s="6" t="s">
        <v>19</v>
      </c>
      <c r="C12" s="6" t="s">
        <v>20</v>
      </c>
      <c r="D12" s="13">
        <v>3</v>
      </c>
    </row>
    <row r="13" spans="1:10" x14ac:dyDescent="0.25">
      <c r="A13" s="5">
        <v>9</v>
      </c>
      <c r="B13" s="6"/>
      <c r="C13" s="6"/>
      <c r="D13" s="13"/>
    </row>
    <row r="14" spans="1:10" x14ac:dyDescent="0.25">
      <c r="A14" s="5">
        <v>10</v>
      </c>
      <c r="B14" s="6"/>
      <c r="C14" s="6"/>
      <c r="D14" s="13"/>
    </row>
    <row r="15" spans="1:10" x14ac:dyDescent="0.25">
      <c r="A15" s="5">
        <v>11</v>
      </c>
      <c r="B15" s="6"/>
      <c r="C15" s="6"/>
      <c r="D15" s="13"/>
      <c r="G15">
        <v>1</v>
      </c>
      <c r="H15" t="str">
        <f>B6</f>
        <v>P1751</v>
      </c>
    </row>
    <row r="16" spans="1:10" x14ac:dyDescent="0.25">
      <c r="A16" s="5">
        <v>12</v>
      </c>
      <c r="B16" s="6"/>
      <c r="C16" s="6"/>
      <c r="D16" s="13"/>
      <c r="G16">
        <v>1</v>
      </c>
      <c r="H16" t="str">
        <f>IF(B7&lt;&gt;"",B7,"")</f>
        <v>P1752</v>
      </c>
    </row>
    <row r="17" spans="1:10" x14ac:dyDescent="0.25">
      <c r="A17" s="5">
        <v>1</v>
      </c>
      <c r="B17" s="9" t="s">
        <v>21</v>
      </c>
      <c r="C17" s="9" t="s">
        <v>22</v>
      </c>
      <c r="D17" s="12"/>
      <c r="G17">
        <v>1</v>
      </c>
      <c r="H17" t="str">
        <f t="shared" ref="H17:H31" si="0">IF(B8&lt;&gt;"",B8,"")</f>
        <v>P1755</v>
      </c>
    </row>
    <row r="18" spans="1:10" x14ac:dyDescent="0.25">
      <c r="A18" s="5">
        <v>2</v>
      </c>
      <c r="B18" s="6" t="s">
        <v>25</v>
      </c>
      <c r="C18" s="6" t="s">
        <v>26</v>
      </c>
      <c r="D18" s="13">
        <v>1</v>
      </c>
      <c r="G18">
        <v>1</v>
      </c>
      <c r="H18" t="str">
        <f t="shared" si="0"/>
        <v>P1757</v>
      </c>
    </row>
    <row r="19" spans="1:10" x14ac:dyDescent="0.25">
      <c r="A19" s="5">
        <v>3</v>
      </c>
      <c r="B19" s="6" t="s">
        <v>13</v>
      </c>
      <c r="C19" s="6" t="s">
        <v>14</v>
      </c>
      <c r="D19" s="13">
        <v>3</v>
      </c>
      <c r="G19">
        <v>1</v>
      </c>
      <c r="H19" t="str">
        <f t="shared" si="0"/>
        <v>P1758</v>
      </c>
    </row>
    <row r="20" spans="1:10" x14ac:dyDescent="0.25">
      <c r="A20" s="5">
        <v>4</v>
      </c>
      <c r="B20" s="6" t="s">
        <v>17</v>
      </c>
      <c r="C20" s="6" t="s">
        <v>18</v>
      </c>
      <c r="D20" s="13">
        <v>1</v>
      </c>
      <c r="G20">
        <v>1</v>
      </c>
      <c r="H20" t="str">
        <f t="shared" si="0"/>
        <v>P154</v>
      </c>
      <c r="J20" t="s">
        <v>67</v>
      </c>
    </row>
    <row r="21" spans="1:10" x14ac:dyDescent="0.25">
      <c r="A21" s="5">
        <v>5</v>
      </c>
      <c r="B21" s="6"/>
      <c r="C21" s="6"/>
      <c r="D21" s="13"/>
      <c r="H21" t="str">
        <f t="shared" si="0"/>
        <v>P191</v>
      </c>
    </row>
    <row r="22" spans="1:10" x14ac:dyDescent="0.25">
      <c r="A22" s="5">
        <v>6</v>
      </c>
      <c r="B22" s="6"/>
      <c r="C22" s="6"/>
      <c r="D22" s="13"/>
      <c r="G22" t="str">
        <f>IF(B13&lt;&gt;"",B13,"")</f>
        <v/>
      </c>
      <c r="H22" t="str">
        <f t="shared" si="0"/>
        <v/>
      </c>
    </row>
    <row r="23" spans="1:10" x14ac:dyDescent="0.25">
      <c r="A23" s="5">
        <v>7</v>
      </c>
      <c r="B23" s="6"/>
      <c r="C23" s="6"/>
      <c r="D23" s="13"/>
      <c r="H23" t="str">
        <f t="shared" si="0"/>
        <v/>
      </c>
    </row>
    <row r="24" spans="1:10" x14ac:dyDescent="0.25">
      <c r="A24" s="5">
        <v>8</v>
      </c>
      <c r="B24" s="6"/>
      <c r="C24" s="6"/>
      <c r="D24" s="13"/>
      <c r="H24" t="str">
        <f t="shared" si="0"/>
        <v/>
      </c>
    </row>
    <row r="25" spans="1:10" x14ac:dyDescent="0.25">
      <c r="A25" s="5">
        <v>9</v>
      </c>
      <c r="B25" s="6"/>
      <c r="C25" s="6"/>
      <c r="D25" s="13"/>
      <c r="H25" t="str">
        <f t="shared" si="0"/>
        <v/>
      </c>
    </row>
    <row r="26" spans="1:10" x14ac:dyDescent="0.25">
      <c r="A26" s="5">
        <v>10</v>
      </c>
      <c r="B26" s="6"/>
      <c r="C26" s="6"/>
      <c r="D26" s="13"/>
      <c r="G26">
        <v>13</v>
      </c>
      <c r="H26" t="str">
        <f t="shared" si="0"/>
        <v>B108</v>
      </c>
    </row>
    <row r="27" spans="1:10" x14ac:dyDescent="0.25">
      <c r="A27" s="5">
        <v>11</v>
      </c>
      <c r="B27" s="6"/>
      <c r="C27" s="6"/>
      <c r="D27" s="13"/>
      <c r="G27">
        <v>13</v>
      </c>
      <c r="H27" t="str">
        <f t="shared" si="0"/>
        <v>P154</v>
      </c>
    </row>
    <row r="28" spans="1:10" x14ac:dyDescent="0.25">
      <c r="A28" s="5">
        <v>12</v>
      </c>
      <c r="B28" s="6"/>
      <c r="C28" s="6"/>
      <c r="D28" s="13"/>
      <c r="G28">
        <v>25</v>
      </c>
      <c r="H28" t="str">
        <f t="shared" si="0"/>
        <v>O3071</v>
      </c>
    </row>
    <row r="29" spans="1:10" x14ac:dyDescent="0.25">
      <c r="A29" s="5">
        <v>1</v>
      </c>
      <c r="B29" s="9" t="s">
        <v>23</v>
      </c>
      <c r="C29" s="9" t="s">
        <v>24</v>
      </c>
      <c r="D29" s="12"/>
      <c r="G29">
        <v>25</v>
      </c>
      <c r="H29" t="str">
        <f t="shared" si="0"/>
        <v>O3072</v>
      </c>
    </row>
    <row r="30" spans="1:10" x14ac:dyDescent="0.25">
      <c r="A30" s="5">
        <v>2</v>
      </c>
      <c r="B30" s="6" t="s">
        <v>25</v>
      </c>
      <c r="C30" s="6" t="s">
        <v>26</v>
      </c>
      <c r="D30" s="13">
        <v>1</v>
      </c>
      <c r="G30">
        <v>25</v>
      </c>
      <c r="H30" t="str">
        <f t="shared" si="0"/>
        <v/>
      </c>
    </row>
    <row r="31" spans="1:10" x14ac:dyDescent="0.25">
      <c r="A31" s="5">
        <v>3</v>
      </c>
      <c r="B31" s="6" t="s">
        <v>27</v>
      </c>
      <c r="C31" s="6" t="s">
        <v>28</v>
      </c>
      <c r="D31" s="13">
        <v>2</v>
      </c>
      <c r="G31">
        <v>25</v>
      </c>
      <c r="H31" t="str">
        <f t="shared" si="0"/>
        <v/>
      </c>
    </row>
    <row r="32" spans="1:10" x14ac:dyDescent="0.25">
      <c r="A32" s="5">
        <v>4</v>
      </c>
      <c r="B32" s="6" t="s">
        <v>29</v>
      </c>
      <c r="C32" s="6" t="s">
        <v>30</v>
      </c>
      <c r="D32" s="13">
        <v>1</v>
      </c>
    </row>
    <row r="33" spans="1:4" x14ac:dyDescent="0.25">
      <c r="A33" s="5">
        <v>5</v>
      </c>
      <c r="B33" s="6"/>
      <c r="C33" s="6"/>
      <c r="D33" s="13"/>
    </row>
    <row r="34" spans="1:4" x14ac:dyDescent="0.25">
      <c r="A34" s="5">
        <v>6</v>
      </c>
      <c r="B34" s="6"/>
      <c r="C34" s="6"/>
      <c r="D34" s="13"/>
    </row>
    <row r="35" spans="1:4" x14ac:dyDescent="0.25">
      <c r="A35" s="5">
        <v>7</v>
      </c>
      <c r="B35" s="6"/>
      <c r="C35" s="6"/>
      <c r="D35" s="13"/>
    </row>
    <row r="36" spans="1:4" x14ac:dyDescent="0.25">
      <c r="A36" s="5">
        <v>8</v>
      </c>
      <c r="B36" s="6"/>
      <c r="C36" s="6"/>
      <c r="D36" s="13"/>
    </row>
    <row r="37" spans="1:4" x14ac:dyDescent="0.25">
      <c r="A37" s="5">
        <v>9</v>
      </c>
      <c r="B37" s="6"/>
      <c r="C37" s="6"/>
      <c r="D37" s="13"/>
    </row>
    <row r="38" spans="1:4" x14ac:dyDescent="0.25">
      <c r="A38" s="5">
        <v>10</v>
      </c>
      <c r="B38" s="6"/>
      <c r="C38" s="6"/>
      <c r="D38" s="13"/>
    </row>
    <row r="39" spans="1:4" x14ac:dyDescent="0.25">
      <c r="A39" s="5">
        <v>11</v>
      </c>
      <c r="B39" s="6"/>
      <c r="C39" s="6"/>
      <c r="D39" s="13"/>
    </row>
    <row r="40" spans="1:4" x14ac:dyDescent="0.25">
      <c r="A40" s="5">
        <v>12</v>
      </c>
      <c r="B40" s="6"/>
      <c r="C40" s="6"/>
      <c r="D40" s="13"/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62016-35CD-4DB5-84FB-F527704DDCE1}">
  <sheetPr codeName="Sheet3"/>
  <dimension ref="B1:P32"/>
  <sheetViews>
    <sheetView showGridLines="0" tabSelected="1" zoomScale="80" zoomScaleNormal="80" workbookViewId="0">
      <selection activeCell="K7" sqref="K7"/>
    </sheetView>
  </sheetViews>
  <sheetFormatPr defaultRowHeight="15" x14ac:dyDescent="0.25"/>
  <cols>
    <col min="1" max="1" width="3.85546875" customWidth="1"/>
    <col min="2" max="2" width="11" style="1" bestFit="1" customWidth="1"/>
    <col min="3" max="3" width="11.42578125" customWidth="1"/>
    <col min="4" max="4" width="44.85546875" bestFit="1" customWidth="1"/>
    <col min="5" max="5" width="8.85546875" customWidth="1"/>
    <col min="6" max="6" width="13.42578125" style="2" bestFit="1" customWidth="1"/>
    <col min="7" max="7" width="15.5703125" bestFit="1" customWidth="1"/>
    <col min="8" max="8" width="6.5703125" customWidth="1"/>
    <col min="9" max="9" width="14.7109375" customWidth="1"/>
    <col min="10" max="10" width="33.5703125" bestFit="1" customWidth="1"/>
    <col min="11" max="11" width="12.42578125" bestFit="1" customWidth="1"/>
    <col min="12" max="12" width="34.85546875" bestFit="1" customWidth="1"/>
    <col min="13" max="13" width="16.140625" customWidth="1"/>
    <col min="14" max="14" width="8.85546875" customWidth="1"/>
    <col min="15" max="15" width="17.7109375" customWidth="1"/>
    <col min="16" max="16" width="10.85546875" customWidth="1"/>
  </cols>
  <sheetData>
    <row r="1" spans="2:16" x14ac:dyDescent="0.25">
      <c r="I1" s="15" t="s">
        <v>0</v>
      </c>
    </row>
    <row r="2" spans="2:16" x14ac:dyDescent="0.25">
      <c r="I2" t="s">
        <v>40</v>
      </c>
    </row>
    <row r="3" spans="2:16" x14ac:dyDescent="0.25">
      <c r="I3" t="s">
        <v>1</v>
      </c>
    </row>
    <row r="6" spans="2:16" x14ac:dyDescent="0.25">
      <c r="B6" s="15" t="s">
        <v>32</v>
      </c>
      <c r="C6" s="15" t="s">
        <v>38</v>
      </c>
      <c r="D6" s="15" t="s">
        <v>37</v>
      </c>
      <c r="E6" s="16" t="s">
        <v>41</v>
      </c>
      <c r="F6" s="16" t="s">
        <v>31</v>
      </c>
      <c r="G6" s="15" t="s">
        <v>42</v>
      </c>
      <c r="K6" s="15" t="s">
        <v>32</v>
      </c>
      <c r="L6" s="15" t="s">
        <v>38</v>
      </c>
      <c r="M6" s="15" t="s">
        <v>37</v>
      </c>
      <c r="N6" s="16" t="s">
        <v>41</v>
      </c>
      <c r="O6" s="16" t="s">
        <v>31</v>
      </c>
      <c r="P6" s="15" t="s">
        <v>42</v>
      </c>
    </row>
    <row r="7" spans="2:16" x14ac:dyDescent="0.25">
      <c r="B7" s="1" t="s">
        <v>43</v>
      </c>
      <c r="C7" t="s">
        <v>2</v>
      </c>
      <c r="D7" t="str">
        <f>VLOOKUP(C7,TablaBOM,2,FALSE)</f>
        <v xml:space="preserve">INSULINA                                          </v>
      </c>
      <c r="E7" t="s">
        <v>10</v>
      </c>
      <c r="F7" s="2">
        <v>10</v>
      </c>
      <c r="G7" t="s">
        <v>40</v>
      </c>
    </row>
    <row r="8" spans="2:16" x14ac:dyDescent="0.25">
      <c r="B8" s="1" t="s">
        <v>66</v>
      </c>
      <c r="C8" t="s">
        <v>23</v>
      </c>
      <c r="D8" t="str">
        <f>VLOOKUP(C8,TablaBOM,2,FALSE)</f>
        <v xml:space="preserve">PERFIL TIROIDEO INCOR                             </v>
      </c>
      <c r="E8" t="s">
        <v>10</v>
      </c>
      <c r="F8" s="2">
        <v>10</v>
      </c>
      <c r="G8" t="s">
        <v>40</v>
      </c>
    </row>
    <row r="9" spans="2:16" x14ac:dyDescent="0.25">
      <c r="B9" s="1" t="s">
        <v>63</v>
      </c>
      <c r="C9" t="s">
        <v>62</v>
      </c>
      <c r="D9" t="str">
        <f>VLOOKUP(C9,TablaBOM,2,FALSE)</f>
        <v xml:space="preserve">INSULINA                                          </v>
      </c>
      <c r="E9" t="s">
        <v>10</v>
      </c>
      <c r="F9" s="2">
        <v>5</v>
      </c>
      <c r="G9" t="s">
        <v>40</v>
      </c>
    </row>
    <row r="10" spans="2:16" x14ac:dyDescent="0.25">
      <c r="D10">
        <v>3</v>
      </c>
      <c r="E10">
        <v>3</v>
      </c>
      <c r="F10">
        <v>3</v>
      </c>
    </row>
    <row r="11" spans="2:16" x14ac:dyDescent="0.25">
      <c r="L11" t="str">
        <f t="shared" ref="L8:L11" ca="1" si="0">IF(OFFSET(C11,1,1)=0,"",OFFSET(C11,1,1))</f>
        <v/>
      </c>
      <c r="M11" t="str">
        <f t="shared" ref="M7:P11" ca="1" si="1">IF(OFFSET(D11,1,1)=0,"",OFFSET(D11,1,1))</f>
        <v/>
      </c>
      <c r="N11" t="str">
        <f t="shared" ca="1" si="1"/>
        <v/>
      </c>
      <c r="O11" t="str">
        <f t="shared" ca="1" si="1"/>
        <v/>
      </c>
      <c r="P11" t="str">
        <f t="shared" ca="1" si="1"/>
        <v/>
      </c>
    </row>
    <row r="12" spans="2:16" x14ac:dyDescent="0.25">
      <c r="C12">
        <v>1</v>
      </c>
    </row>
    <row r="13" spans="2:16" x14ac:dyDescent="0.25">
      <c r="C13">
        <v>1</v>
      </c>
    </row>
    <row r="14" spans="2:16" x14ac:dyDescent="0.25">
      <c r="C14">
        <v>1</v>
      </c>
    </row>
    <row r="15" spans="2:16" x14ac:dyDescent="0.25">
      <c r="C15">
        <v>10</v>
      </c>
      <c r="G15" s="2"/>
    </row>
    <row r="16" spans="2:16" x14ac:dyDescent="0.25">
      <c r="G16" s="2"/>
    </row>
    <row r="17" spans="6:10" x14ac:dyDescent="0.25">
      <c r="F17" s="2">
        <f>MATCH(C$7,BOM!B:B,0)</f>
        <v>5</v>
      </c>
      <c r="G17" s="6" t="s">
        <v>4</v>
      </c>
      <c r="I17" t="e">
        <f ca="1">(OFFSET(Tabla5[[#Headers],[Code]],Macros!G17+1,0))</f>
        <v>#VALUE!</v>
      </c>
      <c r="J17" t="str">
        <f ca="1">IF(OFFSET(Tabla5[[#Headers],[Description]],Macros!H17+1,0)&lt;&gt;"",OFFSET(Tabla5[[#Headers],[Description]],Macros!H17+1,0),"Wew!")</f>
        <v xml:space="preserve">INSULINA                                          </v>
      </c>
    </row>
    <row r="18" spans="6:10" x14ac:dyDescent="0.25">
      <c r="F18" s="2">
        <v>5</v>
      </c>
      <c r="G18" s="6" t="s">
        <v>6</v>
      </c>
      <c r="I18" t="e">
        <f ca="1">(OFFSET(Tabla5[[#Headers],[Code]],Macros!G18+1,0))</f>
        <v>#VALUE!</v>
      </c>
      <c r="J18" t="str">
        <f ca="1">IF(OFFSET(Tabla5[[#Headers],[Description]],Macros!H18+1,0)&lt;&gt;"",OFFSET(Tabla5[[#Headers],[Description]],Macros!H18+1,0),"Wew!")</f>
        <v xml:space="preserve">INSULINA                                          </v>
      </c>
    </row>
    <row r="19" spans="6:10" x14ac:dyDescent="0.25">
      <c r="F19" s="2">
        <v>5</v>
      </c>
      <c r="G19" s="6" t="s">
        <v>8</v>
      </c>
      <c r="I19" t="e">
        <f ca="1">(OFFSET(Tabla5[[#Headers],[Code]],Macros!G19+1,0))</f>
        <v>#VALUE!</v>
      </c>
      <c r="J19" t="str">
        <f ca="1">IF(OFFSET(Tabla5[[#Headers],[Description]],Macros!H19+1,0)&lt;&gt;"",OFFSET(Tabla5[[#Headers],[Description]],Macros!H19+1,0),"Wew!")</f>
        <v xml:space="preserve">INSULINA                                          </v>
      </c>
    </row>
    <row r="20" spans="6:10" x14ac:dyDescent="0.25">
      <c r="F20" s="2">
        <v>5</v>
      </c>
      <c r="G20" s="6" t="s">
        <v>11</v>
      </c>
      <c r="I20" t="e">
        <f ca="1">IF(OFFSET(Tabla5[[#Headers],[Code]],Macros!G20+1,0)&lt;&gt;"",OFFSET(Tabla5[[#Headers],[Code]],Macros!G20+1,0),"")</f>
        <v>#VALUE!</v>
      </c>
      <c r="J20" t="str">
        <f ca="1">IF(OFFSET(Tabla5[[#Headers],[Description]],Macros!H20+1,0)&lt;&gt;"",OFFSET(Tabla5[[#Headers],[Description]],Macros!H20+1,0),"Wew!")</f>
        <v xml:space="preserve">INSULINA                                          </v>
      </c>
    </row>
    <row r="21" spans="6:10" x14ac:dyDescent="0.25">
      <c r="F21" s="2">
        <v>5</v>
      </c>
      <c r="G21" s="6" t="s">
        <v>15</v>
      </c>
      <c r="I21" t="e">
        <f ca="1">IF(OFFSET(Tabla5[[#Headers],[Code]],Macros!G21+1,0)&lt;&gt;"",OFFSET(Tabla5[[#Headers],[Code]],Macros!G21+1,0),"")</f>
        <v>#VALUE!</v>
      </c>
      <c r="J21" t="str">
        <f ca="1">IF(OFFSET(Tabla5[[#Headers],[Description]],Macros!H21+1,0)&lt;&gt;"",OFFSET(Tabla5[[#Headers],[Description]],Macros!H21+1,0),"Wew!")</f>
        <v xml:space="preserve">INSULINA                                          </v>
      </c>
    </row>
    <row r="22" spans="6:10" x14ac:dyDescent="0.25">
      <c r="F22" s="2">
        <v>5</v>
      </c>
      <c r="G22" s="6" t="s">
        <v>25</v>
      </c>
      <c r="I22" t="e">
        <f ca="1">IF(OFFSET(Tabla5[[#Headers],[Code]],Macros!G22+1,0)&lt;&gt;"",OFFSET(Tabla5[[#Headers],[Code]],Macros!G22+1,0),"")</f>
        <v>#VALUE!</v>
      </c>
      <c r="J22" t="str">
        <f ca="1">IF(OFFSET(Tabla5[[#Headers],[Description]],Macros!H22+1,0)&lt;&gt;"",OFFSET(Tabla5[[#Headers],[Description]],Macros!H22+1,0),"Wew!")</f>
        <v xml:space="preserve">INSULINA                                          </v>
      </c>
    </row>
    <row r="23" spans="6:10" x14ac:dyDescent="0.25">
      <c r="F23" s="2">
        <v>5</v>
      </c>
      <c r="G23" s="6" t="s">
        <v>19</v>
      </c>
      <c r="I23" t="e">
        <f ca="1">IF(OFFSET(Tabla5[[#Headers],[Code]],Macros!G23+1,0)&lt;&gt;"",OFFSET(Tabla5[[#Headers],[Code]],Macros!G23+1,0),"Wew!")</f>
        <v>#VALUE!</v>
      </c>
      <c r="J23" t="str">
        <f ca="1">IF(OFFSET(Tabla5[[#Headers],[Description]],Macros!H23+1,0)&lt;&gt;"",OFFSET(Tabla5[[#Headers],[Description]],Macros!H23+1,0),"Wew!")</f>
        <v xml:space="preserve">INSULINA                                          </v>
      </c>
    </row>
    <row r="24" spans="6:10" x14ac:dyDescent="0.25">
      <c r="I24" t="str">
        <f ca="1">IF(OFFSET(Tabla5[[#Headers],[Code]],Macros!G24+1,0)&lt;&gt;"",OFFSET(Tabla5[[#Headers],[Code]],Macros!G24+1,0),"Wew!")</f>
        <v>P175</v>
      </c>
      <c r="J24" t="str">
        <f ca="1">IF(OFFSET(Tabla5[[#Headers],[Description]],Macros!H24+1,0)&lt;&gt;"",OFFSET(Tabla5[[#Headers],[Description]],Macros!H24+1,0),"Wew!")</f>
        <v xml:space="preserve">INSULINA                                          </v>
      </c>
    </row>
    <row r="25" spans="6:10" x14ac:dyDescent="0.25">
      <c r="I25" t="str">
        <f ca="1">IF(OFFSET(Tabla5[[#Headers],[Code]],Macros!G25+1,0)&lt;&gt;"",OFFSET(Tabla5[[#Headers],[Code]],Macros!G25+1,0),"Wew!")</f>
        <v>P175</v>
      </c>
      <c r="J25" t="str">
        <f ca="1">IF(OFFSET(Tabla5[[#Headers],[Description]],Macros!H25+1,0)&lt;&gt;"",OFFSET(Tabla5[[#Headers],[Description]],Macros!H25+1,0),"Wew!")</f>
        <v xml:space="preserve">INSULINA                                          </v>
      </c>
    </row>
    <row r="26" spans="6:10" x14ac:dyDescent="0.25">
      <c r="I26" t="str">
        <f ca="1">IF(OFFSET(Tabla5[[#Headers],[Code]],Macros!G26+1,0)&lt;&gt;"",OFFSET(Tabla5[[#Headers],[Code]],Macros!G26+1,0),"Wew!")</f>
        <v>P175</v>
      </c>
      <c r="J26" t="str">
        <f ca="1">IF(OFFSET(Tabla5[[#Headers],[Description]],Macros!H26+1,0)&lt;&gt;"",OFFSET(Tabla5[[#Headers],[Description]],Macros!H26+1,0),"Wew!")</f>
        <v xml:space="preserve">INSULINA                                          </v>
      </c>
    </row>
    <row r="27" spans="6:10" x14ac:dyDescent="0.25">
      <c r="I27" t="str">
        <f ca="1">IF(OFFSET(Tabla5[[#Headers],[Code]],Macros!G27+1,0)&lt;&gt;"",OFFSET(Tabla5[[#Headers],[Code]],Macros!G27+1,0),"Wew!")</f>
        <v>P175</v>
      </c>
      <c r="J27" t="str">
        <f ca="1">IF(OFFSET(Tabla5[[#Headers],[Description]],Macros!H27+1,0)&lt;&gt;"",OFFSET(Tabla5[[#Headers],[Description]],Macros!H27+1,0),"Wew!")</f>
        <v xml:space="preserve">INSULINA                                          </v>
      </c>
    </row>
    <row r="28" spans="6:10" x14ac:dyDescent="0.25">
      <c r="I28" t="str">
        <f ca="1">IF(OFFSET(Tabla5[[#Headers],[Code]],Macros!G28+1,0)&lt;&gt;"",OFFSET(Tabla5[[#Headers],[Code]],Macros!G28+1,0),"Wew!")</f>
        <v>P175</v>
      </c>
      <c r="J28" t="str">
        <f ca="1">IF(OFFSET(Tabla5[[#Headers],[Description]],Macros!H28+1,0)&lt;&gt;"",OFFSET(Tabla5[[#Headers],[Description]],Macros!H28+1,0),"Wew!")</f>
        <v xml:space="preserve">INSULINA                                          </v>
      </c>
    </row>
    <row r="29" spans="6:10" x14ac:dyDescent="0.25">
      <c r="I29" t="str">
        <f ca="1">IF(OFFSET(Tabla5[[#Headers],[Code]],Macros!G29+1,0)&lt;&gt;"",OFFSET(Tabla5[[#Headers],[Code]],Macros!G29+1,0),"Wew!")</f>
        <v>P175</v>
      </c>
      <c r="J29" t="str">
        <f ca="1">IF(OFFSET(Tabla5[[#Headers],[Description]],Macros!H29+1,0)&lt;&gt;"",OFFSET(Tabla5[[#Headers],[Description]],Macros!H29+1,0),"Wew!")</f>
        <v xml:space="preserve">INSULINA                                          </v>
      </c>
    </row>
    <row r="30" spans="6:10" x14ac:dyDescent="0.25">
      <c r="I30" t="str">
        <f ca="1">IF(OFFSET(Tabla5[[#Headers],[Code]],Macros!G30+1,0)&lt;&gt;"",OFFSET(Tabla5[[#Headers],[Code]],Macros!G30+1,0),"Wew!")</f>
        <v>P175</v>
      </c>
      <c r="J30" t="str">
        <f ca="1">IF(OFFSET(Tabla5[[#Headers],[Description]],Macros!H30+1,0)&lt;&gt;"",OFFSET(Tabla5[[#Headers],[Description]],Macros!H30+1,0),"Wew!")</f>
        <v xml:space="preserve">INSULINA                                          </v>
      </c>
    </row>
    <row r="31" spans="6:10" x14ac:dyDescent="0.25">
      <c r="I31" t="str">
        <f ca="1">IF(OFFSET(Tabla5[[#Headers],[Code]],Macros!G31+1,0)&lt;&gt;"",OFFSET(Tabla5[[#Headers],[Code]],Macros!G31+1,0),"Wew!")</f>
        <v>P175</v>
      </c>
      <c r="J31" t="str">
        <f ca="1">IF(OFFSET(Tabla5[[#Headers],[Description]],Macros!H31+1,0)&lt;&gt;"",OFFSET(Tabla5[[#Headers],[Description]],Macros!H31+1,0),"Wew!")</f>
        <v xml:space="preserve">INSULINA                                          </v>
      </c>
    </row>
    <row r="32" spans="6:10" x14ac:dyDescent="0.25">
      <c r="I32" t="str">
        <f ca="1">IF(OFFSET(Tabla5[[#Headers],[Code]],Macros!G32+1,0)&lt;&gt;"",OFFSET(Tabla5[[#Headers],[Code]],Macros!G32+1,0),"Wew!")</f>
        <v>P175</v>
      </c>
      <c r="J32" t="str">
        <f ca="1">IF(OFFSET(Tabla5[[#Headers],[Description]],Macros!H32+1,0)&lt;&gt;"",OFFSET(Tabla5[[#Headers],[Description]],Macros!H32+1,0),"Wew!")</f>
        <v xml:space="preserve">INSULINA                                          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B66D5-0467-4E9A-9806-3D785F5FADEA}">
  <sheetPr codeName="Sheet5"/>
  <dimension ref="F3:P13"/>
  <sheetViews>
    <sheetView workbookViewId="0">
      <selection activeCell="M14" sqref="M14"/>
    </sheetView>
  </sheetViews>
  <sheetFormatPr defaultRowHeight="15" x14ac:dyDescent="0.25"/>
  <sheetData>
    <row r="3" spans="6:16" x14ac:dyDescent="0.25">
      <c r="J3" t="s">
        <v>46</v>
      </c>
      <c r="K3" t="s">
        <v>47</v>
      </c>
      <c r="L3" t="s">
        <v>48</v>
      </c>
      <c r="M3" t="s">
        <v>49</v>
      </c>
      <c r="N3" t="s">
        <v>50</v>
      </c>
      <c r="O3" t="s">
        <v>51</v>
      </c>
      <c r="P3" t="s">
        <v>52</v>
      </c>
    </row>
    <row r="4" spans="6:16" x14ac:dyDescent="0.25">
      <c r="F4" t="s">
        <v>57</v>
      </c>
      <c r="G4" t="s">
        <v>45</v>
      </c>
      <c r="H4" s="18">
        <f ca="1">INDEX(J4:P8,2,2)</f>
        <v>1</v>
      </c>
      <c r="J4" t="s">
        <v>44</v>
      </c>
      <c r="K4" s="2">
        <f ca="1">INT(10*RAND())</f>
        <v>6</v>
      </c>
      <c r="L4" s="2">
        <f t="shared" ref="L4:P8" ca="1" si="0">INT(10*RAND())</f>
        <v>8</v>
      </c>
      <c r="M4" s="19">
        <f t="shared" ca="1" si="0"/>
        <v>8</v>
      </c>
      <c r="N4" s="2">
        <f t="shared" ca="1" si="0"/>
        <v>3</v>
      </c>
      <c r="O4" s="2">
        <f t="shared" ca="1" si="0"/>
        <v>9</v>
      </c>
      <c r="P4" s="2">
        <f t="shared" ca="1" si="0"/>
        <v>0</v>
      </c>
    </row>
    <row r="5" spans="6:16" x14ac:dyDescent="0.25">
      <c r="J5" t="s">
        <v>53</v>
      </c>
      <c r="K5" s="17">
        <f t="shared" ref="K5:P8" ca="1" si="1">INT(10*RAND())</f>
        <v>1</v>
      </c>
      <c r="L5" s="2">
        <f t="shared" ca="1" si="0"/>
        <v>1</v>
      </c>
      <c r="M5" s="19">
        <f t="shared" ca="1" si="0"/>
        <v>4</v>
      </c>
      <c r="N5" s="2">
        <f t="shared" ca="1" si="0"/>
        <v>3</v>
      </c>
      <c r="O5" s="2">
        <f t="shared" ca="1" si="0"/>
        <v>3</v>
      </c>
      <c r="P5" s="2">
        <f t="shared" ca="1" si="0"/>
        <v>6</v>
      </c>
    </row>
    <row r="6" spans="6:16" x14ac:dyDescent="0.25">
      <c r="J6" t="s">
        <v>54</v>
      </c>
      <c r="K6" s="2">
        <f t="shared" ca="1" si="1"/>
        <v>3</v>
      </c>
      <c r="L6" s="2">
        <f t="shared" ca="1" si="0"/>
        <v>4</v>
      </c>
      <c r="M6" s="19">
        <f t="shared" ca="1" si="0"/>
        <v>9</v>
      </c>
      <c r="N6" s="2">
        <f t="shared" ca="1" si="0"/>
        <v>6</v>
      </c>
      <c r="O6" s="2">
        <f t="shared" ca="1" si="0"/>
        <v>6</v>
      </c>
      <c r="P6" s="2">
        <f t="shared" ca="1" si="0"/>
        <v>0</v>
      </c>
    </row>
    <row r="7" spans="6:16" x14ac:dyDescent="0.25">
      <c r="J7" t="s">
        <v>55</v>
      </c>
      <c r="K7" s="2">
        <f t="shared" ca="1" si="1"/>
        <v>2</v>
      </c>
      <c r="L7" s="2">
        <f t="shared" ca="1" si="0"/>
        <v>8</v>
      </c>
      <c r="M7" s="19">
        <f t="shared" ca="1" si="0"/>
        <v>6</v>
      </c>
      <c r="N7" s="2">
        <f t="shared" ca="1" si="0"/>
        <v>4</v>
      </c>
      <c r="O7" s="2">
        <f t="shared" ca="1" si="0"/>
        <v>2</v>
      </c>
      <c r="P7" s="2">
        <f t="shared" ca="1" si="0"/>
        <v>9</v>
      </c>
    </row>
    <row r="8" spans="6:16" x14ac:dyDescent="0.25">
      <c r="J8" t="s">
        <v>56</v>
      </c>
      <c r="K8" s="2">
        <f t="shared" ca="1" si="1"/>
        <v>9</v>
      </c>
      <c r="L8" s="2">
        <f t="shared" ca="1" si="0"/>
        <v>4</v>
      </c>
      <c r="M8" s="19">
        <f t="shared" ca="1" si="0"/>
        <v>7</v>
      </c>
      <c r="N8" s="2">
        <f t="shared" ca="1" si="0"/>
        <v>7</v>
      </c>
      <c r="O8" s="2">
        <f t="shared" ca="1" si="0"/>
        <v>7</v>
      </c>
      <c r="P8" s="2">
        <f t="shared" ca="1" si="0"/>
        <v>5</v>
      </c>
    </row>
    <row r="9" spans="6:16" x14ac:dyDescent="0.25">
      <c r="F9" t="s">
        <v>58</v>
      </c>
      <c r="G9" t="s">
        <v>59</v>
      </c>
      <c r="H9" s="20">
        <f ca="1">MATCH(8,M4:M8,0)</f>
        <v>1</v>
      </c>
    </row>
    <row r="13" spans="6:16" x14ac:dyDescent="0.25">
      <c r="F13" t="s">
        <v>60</v>
      </c>
      <c r="G13" t="s">
        <v>61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B06EF-A8F2-41EE-90E3-DF43CB42B45D}">
  <sheetPr codeName="Sheet4"/>
  <dimension ref="A3:Q19"/>
  <sheetViews>
    <sheetView showGridLines="0" workbookViewId="0">
      <selection activeCell="F11" sqref="F11"/>
    </sheetView>
  </sheetViews>
  <sheetFormatPr defaultRowHeight="15" x14ac:dyDescent="0.25"/>
  <cols>
    <col min="1" max="1" width="11.28515625" bestFit="1" customWidth="1"/>
    <col min="2" max="2" width="39" bestFit="1" customWidth="1"/>
    <col min="5" max="5" width="6.140625" bestFit="1" customWidth="1"/>
    <col min="6" max="6" width="5.140625" bestFit="1" customWidth="1"/>
    <col min="7" max="8" width="6.42578125" bestFit="1" customWidth="1"/>
    <col min="9" max="9" width="5.140625" bestFit="1" customWidth="1"/>
    <col min="10" max="15" width="6.140625" bestFit="1" customWidth="1"/>
    <col min="16" max="16" width="5.140625" bestFit="1" customWidth="1"/>
    <col min="17" max="17" width="9.140625" style="2"/>
  </cols>
  <sheetData>
    <row r="3" spans="1:17" x14ac:dyDescent="0.25">
      <c r="A3" s="21" t="s">
        <v>38</v>
      </c>
      <c r="B3" s="21" t="s">
        <v>37</v>
      </c>
      <c r="E3" s="3"/>
      <c r="F3" s="6" t="s">
        <v>25</v>
      </c>
      <c r="G3" s="6" t="s">
        <v>13</v>
      </c>
      <c r="H3" s="6" t="s">
        <v>17</v>
      </c>
      <c r="I3" s="6" t="s">
        <v>27</v>
      </c>
      <c r="J3" s="6" t="s">
        <v>29</v>
      </c>
      <c r="K3" s="6" t="s">
        <v>4</v>
      </c>
      <c r="L3" s="6" t="s">
        <v>6</v>
      </c>
      <c r="M3" s="6" t="s">
        <v>8</v>
      </c>
      <c r="N3" s="6" t="s">
        <v>11</v>
      </c>
      <c r="O3" s="6" t="s">
        <v>15</v>
      </c>
      <c r="P3" s="6" t="s">
        <v>19</v>
      </c>
    </row>
    <row r="4" spans="1:17" x14ac:dyDescent="0.25">
      <c r="A4" t="s">
        <v>21</v>
      </c>
      <c r="B4" s="20" t="s">
        <v>22</v>
      </c>
      <c r="D4">
        <v>10</v>
      </c>
      <c r="E4" s="22" t="s">
        <v>21</v>
      </c>
      <c r="F4" s="23">
        <v>1</v>
      </c>
      <c r="G4" s="23">
        <v>3</v>
      </c>
      <c r="H4" s="23">
        <v>1</v>
      </c>
      <c r="I4" s="23"/>
      <c r="J4" s="23"/>
      <c r="K4" s="3"/>
      <c r="L4" s="3"/>
      <c r="M4" s="3"/>
      <c r="N4" s="3"/>
      <c r="O4" s="3"/>
      <c r="P4" s="3"/>
      <c r="Q4" s="2">
        <v>10</v>
      </c>
    </row>
    <row r="5" spans="1:17" x14ac:dyDescent="0.25">
      <c r="A5" t="s">
        <v>13</v>
      </c>
      <c r="B5" t="s">
        <v>14</v>
      </c>
      <c r="D5">
        <v>5</v>
      </c>
      <c r="E5" s="22" t="s">
        <v>23</v>
      </c>
      <c r="F5" s="23">
        <v>1</v>
      </c>
      <c r="G5" s="23"/>
      <c r="H5" s="23"/>
      <c r="I5" s="23">
        <v>2</v>
      </c>
      <c r="J5" s="23">
        <v>1</v>
      </c>
      <c r="K5" s="3"/>
      <c r="L5" s="3"/>
      <c r="M5" s="3"/>
      <c r="N5" s="3"/>
      <c r="O5" s="3"/>
      <c r="P5" s="3"/>
      <c r="Q5" s="2">
        <v>5</v>
      </c>
    </row>
    <row r="6" spans="1:17" x14ac:dyDescent="0.25">
      <c r="A6" t="s">
        <v>17</v>
      </c>
      <c r="B6" t="s">
        <v>18</v>
      </c>
      <c r="D6">
        <v>10</v>
      </c>
      <c r="E6" s="22" t="s">
        <v>2</v>
      </c>
      <c r="F6" s="23">
        <v>4</v>
      </c>
      <c r="G6" s="23"/>
      <c r="H6" s="23"/>
      <c r="I6" s="23"/>
      <c r="J6" s="23"/>
      <c r="K6" s="13">
        <v>1</v>
      </c>
      <c r="L6" s="13">
        <v>1</v>
      </c>
      <c r="M6" s="13">
        <v>1</v>
      </c>
      <c r="N6" s="13">
        <v>1</v>
      </c>
      <c r="O6" s="13">
        <v>1</v>
      </c>
      <c r="P6" s="13">
        <v>3</v>
      </c>
      <c r="Q6" s="2">
        <v>10</v>
      </c>
    </row>
    <row r="7" spans="1:17" x14ac:dyDescent="0.25">
      <c r="A7" t="s">
        <v>23</v>
      </c>
      <c r="B7" s="20" t="s">
        <v>24</v>
      </c>
    </row>
    <row r="8" spans="1:17" x14ac:dyDescent="0.25">
      <c r="A8" t="s">
        <v>25</v>
      </c>
      <c r="B8" t="s">
        <v>26</v>
      </c>
    </row>
    <row r="9" spans="1:17" x14ac:dyDescent="0.25">
      <c r="A9" t="s">
        <v>27</v>
      </c>
      <c r="B9" t="s">
        <v>28</v>
      </c>
    </row>
    <row r="10" spans="1:17" x14ac:dyDescent="0.25">
      <c r="A10" t="s">
        <v>29</v>
      </c>
      <c r="B10" t="s">
        <v>30</v>
      </c>
    </row>
    <row r="11" spans="1:17" x14ac:dyDescent="0.25">
      <c r="A11" t="s">
        <v>2</v>
      </c>
      <c r="B11" s="20" t="s">
        <v>3</v>
      </c>
    </row>
    <row r="12" spans="1:17" x14ac:dyDescent="0.25">
      <c r="A12" t="s">
        <v>4</v>
      </c>
      <c r="B12" t="s">
        <v>5</v>
      </c>
    </row>
    <row r="13" spans="1:17" x14ac:dyDescent="0.25">
      <c r="A13" t="s">
        <v>6</v>
      </c>
      <c r="B13" t="s">
        <v>7</v>
      </c>
    </row>
    <row r="14" spans="1:17" x14ac:dyDescent="0.25">
      <c r="A14" t="s">
        <v>8</v>
      </c>
      <c r="B14" t="s">
        <v>9</v>
      </c>
    </row>
    <row r="15" spans="1:17" x14ac:dyDescent="0.25">
      <c r="A15" t="s">
        <v>11</v>
      </c>
      <c r="B15" t="s">
        <v>12</v>
      </c>
    </row>
    <row r="16" spans="1:17" x14ac:dyDescent="0.25">
      <c r="A16" t="s">
        <v>15</v>
      </c>
      <c r="B16" t="s">
        <v>16</v>
      </c>
    </row>
    <row r="17" spans="1:2" x14ac:dyDescent="0.25">
      <c r="A17" t="s">
        <v>19</v>
      </c>
      <c r="B17" t="s">
        <v>20</v>
      </c>
    </row>
    <row r="18" spans="1:2" x14ac:dyDescent="0.25">
      <c r="A18" t="s">
        <v>64</v>
      </c>
      <c r="B18" t="s">
        <v>64</v>
      </c>
    </row>
    <row r="19" spans="1:2" x14ac:dyDescent="0.25">
      <c r="A19" t="s">
        <v>65</v>
      </c>
    </row>
  </sheetData>
  <conditionalFormatting sqref="F3:P3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Readme</vt:lpstr>
      <vt:lpstr>BOM</vt:lpstr>
      <vt:lpstr>Macros</vt:lpstr>
      <vt:lpstr>Sheet4</vt:lpstr>
      <vt:lpstr>Sheet5</vt:lpstr>
      <vt:lpstr>TablaBOM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alberto carreño</dc:creator>
  <cp:lastModifiedBy>luis alberto carreño</cp:lastModifiedBy>
  <dcterms:created xsi:type="dcterms:W3CDTF">2024-05-05T14:22:09Z</dcterms:created>
  <dcterms:modified xsi:type="dcterms:W3CDTF">2024-05-06T18:12:58Z</dcterms:modified>
</cp:coreProperties>
</file>